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davis365-my.sharepoint.com/personal/ofiehn_ucdavis_edu/Documents/"/>
    </mc:Choice>
  </mc:AlternateContent>
  <xr:revisionPtr revIDLastSave="0" documentId="13_ncr:40009_{A7F8BBF9-BC15-400B-85C6-537EDADE43D1}" xr6:coauthVersionLast="47" xr6:coauthVersionMax="47" xr10:uidLastSave="{00000000-0000-0000-0000-000000000000}"/>
  <bookViews>
    <workbookView xWindow="810" yWindow="6920" windowWidth="27320" windowHeight="14940"/>
  </bookViews>
  <sheets>
    <sheet name="flagged_annotat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<sst xmlns="http://schemas.openxmlformats.org/spreadsheetml/2006/main" count="128" uniqueCount="89">
  <si>
    <t>wiki_id</t>
  </si>
  <si>
    <t>name</t>
  </si>
  <si>
    <t>tier</t>
  </si>
  <si>
    <t>confidence</t>
  </si>
  <si>
    <t>delta_rt_abs</t>
  </si>
  <si>
    <t>anno_entropy_sim</t>
  </si>
  <si>
    <t>anno_reverse</t>
  </si>
  <si>
    <t>anno_forward</t>
  </si>
  <si>
    <t>sim_gap</t>
  </si>
  <si>
    <t>anno_delta_ppm_abs</t>
  </si>
  <si>
    <t>max_deviation</t>
  </si>
  <si>
    <t>spectral_entropy</t>
  </si>
  <si>
    <t>has_anno_hit</t>
  </si>
  <si>
    <t>oliver_prob</t>
  </si>
  <si>
    <t>aPUDE1U/2848</t>
  </si>
  <si>
    <t>nonenedioic acid</t>
  </si>
  <si>
    <t>blue</t>
  </si>
  <si>
    <t>aPUDE1U/5278</t>
  </si>
  <si>
    <t>carglumic acid</t>
  </si>
  <si>
    <t>aPUDE1U/3482</t>
  </si>
  <si>
    <t>chloramphenicol</t>
  </si>
  <si>
    <t>aPUDE1U/809</t>
  </si>
  <si>
    <t>N-acetylleucine</t>
  </si>
  <si>
    <t>golden</t>
  </si>
  <si>
    <t>aPUDE1U/4598</t>
  </si>
  <si>
    <t>octyl sulfate</t>
  </si>
  <si>
    <t>aPUDE1U/3888</t>
  </si>
  <si>
    <t>indole-3-acetate-2-sulfonate</t>
  </si>
  <si>
    <t>aPUDE1U/3235</t>
  </si>
  <si>
    <t>4-hydroxyphenyl sulfate</t>
  </si>
  <si>
    <t>aPUDE1U/748</t>
  </si>
  <si>
    <t>imidazolepropionic acid</t>
  </si>
  <si>
    <t>aPUDE1U/5057</t>
  </si>
  <si>
    <t>dihydrouracil</t>
  </si>
  <si>
    <t>aPUDE1U/676</t>
  </si>
  <si>
    <t>5-aminonicotinic acid</t>
  </si>
  <si>
    <t>aPUDE1U/3249</t>
  </si>
  <si>
    <t>N-acetylcysteine</t>
  </si>
  <si>
    <t>aPUDE1U/5179</t>
  </si>
  <si>
    <t>N-acetylleucine_minor</t>
  </si>
  <si>
    <t>aPUDE1U/2728</t>
  </si>
  <si>
    <t>azelaic acid_minor</t>
  </si>
  <si>
    <t>aPUDE1U/4256</t>
  </si>
  <si>
    <t>N-acetylvaline</t>
  </si>
  <si>
    <t>aPUDE1U/3653</t>
  </si>
  <si>
    <t>ascorbic acid</t>
  </si>
  <si>
    <t>aPUDE1U/5526</t>
  </si>
  <si>
    <t>erythrose</t>
  </si>
  <si>
    <t>aPUDE1U/3857</t>
  </si>
  <si>
    <t>tetraconazole</t>
  </si>
  <si>
    <t>yellow</t>
  </si>
  <si>
    <t>aPUDE1U/3269</t>
  </si>
  <si>
    <t>carmofur</t>
  </si>
  <si>
    <t>aPUDE1U/1059</t>
  </si>
  <si>
    <t>5-(methoxymethyl)pyridine-2,3-dicarboxylic acid_minor</t>
  </si>
  <si>
    <t>aPUDE1U/5808</t>
  </si>
  <si>
    <t>3-ureidopropionic acid_to check</t>
  </si>
  <si>
    <t>aPUDE1U/4069</t>
  </si>
  <si>
    <t>isonicotinylglycine</t>
  </si>
  <si>
    <t>aPUDE1U/422</t>
  </si>
  <si>
    <t>purine</t>
  </si>
  <si>
    <r>
      <rPr>
        <b/>
        <sz val="11"/>
        <color rgb="FF006100"/>
        <rFont val="Calibri"/>
        <family val="2"/>
        <scheme val="minor"/>
      </rPr>
      <t xml:space="preserve">adduct for 'carglumic' is -H2O! </t>
    </r>
    <r>
      <rPr>
        <sz val="11"/>
        <color rgb="FF006100"/>
        <rFont val="Calibri"/>
        <family val="2"/>
        <scheme val="minor"/>
      </rPr>
      <t>This is very likely incorrect, the true smiles should be 
C(CC(=O)O)C1C(=O)NC(=O)N1 as in "annotation comments"    N</t>
    </r>
    <r>
      <rPr>
        <b/>
        <sz val="11"/>
        <color rgb="FF006100"/>
        <rFont val="Calibri"/>
        <family val="2"/>
        <scheme val="minor"/>
      </rPr>
      <t>eeds to be calculated by Fanzhou</t>
    </r>
  </si>
  <si>
    <r>
      <rPr>
        <b/>
        <i/>
        <sz val="11"/>
        <color rgb="FFFF0000"/>
        <rFont val="Calibri"/>
        <family val="2"/>
        <scheme val="minor"/>
      </rPr>
      <t xml:space="preserve">annotated </t>
    </r>
    <r>
      <rPr>
        <sz val="11"/>
        <color rgb="FFFF0000"/>
        <rFont val="Calibri"/>
        <family val="2"/>
        <scheme val="minor"/>
      </rPr>
      <t xml:space="preserve">molecule is for </t>
    </r>
    <r>
      <rPr>
        <b/>
        <sz val="11"/>
        <color rgb="FFFF0000"/>
        <rFont val="Calibri"/>
        <family val="2"/>
        <scheme val="minor"/>
      </rPr>
      <t>pyrocarglumic aci</t>
    </r>
    <r>
      <rPr>
        <sz val="11"/>
        <color rgb="FFFF0000"/>
        <rFont val="Calibri"/>
        <family val="2"/>
        <scheme val="minor"/>
      </rPr>
      <t>d BUT MSMS is for carglumic - H2O</t>
    </r>
  </si>
  <si>
    <r>
      <rPr>
        <b/>
        <sz val="11"/>
        <color rgb="FFFF0000"/>
        <rFont val="Calibri"/>
        <family val="2"/>
        <scheme val="minor"/>
      </rPr>
      <t>no alternative hit.</t>
    </r>
    <r>
      <rPr>
        <sz val="11"/>
        <color rgb="FFFF0000"/>
        <rFont val="Calibri"/>
        <family val="2"/>
        <scheme val="minor"/>
      </rPr>
      <t xml:space="preserve"> MSMS is likely including noise ions as it elutes in the void volume</t>
    </r>
  </si>
  <si>
    <t>both reverse and forward MSMS look ok…. Adduct is M-H. Alternative MSMS for gabapentin looks much worse…</t>
  </si>
  <si>
    <r>
      <t>reverse score is convincing. Forward score may be affected because it elues in the</t>
    </r>
    <r>
      <rPr>
        <b/>
        <sz val="11"/>
        <color rgb="FFFF0000"/>
        <rFont val="Calibri"/>
        <family val="2"/>
        <scheme val="minor"/>
      </rPr>
      <t xml:space="preserve"> void volume</t>
    </r>
    <r>
      <rPr>
        <sz val="11"/>
        <color rgb="FFFF0000"/>
        <rFont val="Calibri"/>
        <family val="2"/>
        <scheme val="minor"/>
      </rPr>
      <t>…?</t>
    </r>
  </si>
  <si>
    <r>
      <rPr>
        <b/>
        <sz val="11"/>
        <color rgb="FFFF0000"/>
        <rFont val="Calibri"/>
        <family val="2"/>
        <scheme val="minor"/>
      </rPr>
      <t>no alternative hit.</t>
    </r>
    <r>
      <rPr>
        <sz val="11"/>
        <color rgb="FFFF0000"/>
        <rFont val="Calibri"/>
        <family val="2"/>
        <scheme val="minor"/>
      </rPr>
      <t xml:space="preserve"> MSMS looks fine both forward and reverse, with some noise ions, perhaps. M-H adduct, fine</t>
    </r>
  </si>
  <si>
    <r>
      <rPr>
        <b/>
        <sz val="11"/>
        <color rgb="FF0070C0"/>
        <rFont val="Calibri"/>
        <family val="2"/>
        <scheme val="minor"/>
      </rPr>
      <t xml:space="preserve">hm…weird. </t>
    </r>
    <r>
      <rPr>
        <sz val="11"/>
        <color rgb="FF0070C0"/>
        <rFont val="Calibri"/>
        <family val="2"/>
        <scheme val="minor"/>
      </rPr>
      <t>The annotation deltaRT says -18s annotated as imidazole</t>
    </r>
    <r>
      <rPr>
        <b/>
        <sz val="11"/>
        <color rgb="FF0070C0"/>
        <rFont val="Calibri"/>
        <family val="2"/>
        <scheme val="minor"/>
      </rPr>
      <t>propanoic</t>
    </r>
    <r>
      <rPr>
        <sz val="11"/>
        <color rgb="FF0070C0"/>
        <rFont val="Calibri"/>
        <family val="2"/>
        <scheme val="minor"/>
      </rPr>
      <t xml:space="preserve"> acid, but I don't see that compound in the MSMS libraries…?</t>
    </r>
  </si>
  <si>
    <r>
      <rPr>
        <b/>
        <i/>
        <sz val="11"/>
        <color rgb="FFFF0000"/>
        <rFont val="Calibri"/>
        <family val="2"/>
        <scheme val="minor"/>
      </rPr>
      <t xml:space="preserve">annotated </t>
    </r>
    <r>
      <rPr>
        <sz val="11"/>
        <color rgb="FFFF0000"/>
        <rFont val="Calibri"/>
        <family val="2"/>
        <scheme val="minor"/>
      </rPr>
      <t xml:space="preserve">molecule is asparagine, curated </t>
    </r>
    <r>
      <rPr>
        <b/>
        <sz val="11"/>
        <color rgb="FFFF0000"/>
        <rFont val="Calibri"/>
        <family val="2"/>
        <scheme val="minor"/>
      </rPr>
      <t>last week 3/30/2026</t>
    </r>
    <r>
      <rPr>
        <sz val="11"/>
        <color rgb="FFFF0000"/>
        <rFont val="Calibri"/>
        <family val="2"/>
        <scheme val="minor"/>
      </rPr>
      <t>. Make sure you always use the latest version!  "Golden" means that Oliver Fiehn needs to curate it…</t>
    </r>
  </si>
  <si>
    <r>
      <rPr>
        <b/>
        <i/>
        <sz val="11"/>
        <color rgb="FFFF0000"/>
        <rFont val="Calibri"/>
        <family val="2"/>
        <scheme val="minor"/>
      </rPr>
      <t xml:space="preserve">annotated </t>
    </r>
    <r>
      <rPr>
        <sz val="11"/>
        <color rgb="FFFF0000"/>
        <rFont val="Calibri"/>
        <family val="2"/>
        <scheme val="minor"/>
      </rPr>
      <t>molecule is 2-nitroaniline. Make sure you always use the latest version!  "Golden" means that Oliver Fiehn needs to curate it…</t>
    </r>
  </si>
  <si>
    <r>
      <rPr>
        <sz val="11"/>
        <color rgb="FFFF0000"/>
        <rFont val="Calibri"/>
        <family val="2"/>
        <scheme val="minor"/>
      </rPr>
      <t>this one was a</t>
    </r>
    <r>
      <rPr>
        <b/>
        <sz val="11"/>
        <color rgb="FFFF0000"/>
        <rFont val="Calibri"/>
        <family val="2"/>
        <scheme val="minor"/>
      </rPr>
      <t>lready named yy</t>
    </r>
    <r>
      <rPr>
        <sz val="11"/>
        <color rgb="FFFF0000"/>
        <rFont val="Calibri"/>
        <family val="2"/>
        <scheme val="minor"/>
      </rPr>
      <t>…make sure you always use the most  updated version of the DB</t>
    </r>
  </si>
  <si>
    <t>Fiehn comment 04/08/2026</t>
  </si>
  <si>
    <t>keep</t>
  </si>
  <si>
    <t>maybe change?</t>
  </si>
  <si>
    <t>weird</t>
  </si>
  <si>
    <t>changed</t>
  </si>
  <si>
    <t>now changed to yy_</t>
  </si>
  <si>
    <r>
      <t xml:space="preserve">now changed to N-acetyl-isoleucine </t>
    </r>
    <r>
      <rPr>
        <b/>
        <sz val="11"/>
        <color rgb="FFFF0000"/>
        <rFont val="Calibri"/>
        <family val="2"/>
        <scheme val="minor"/>
      </rPr>
      <t xml:space="preserve">BUT this looks like a Fanzhou model error </t>
    </r>
    <r>
      <rPr>
        <sz val="11"/>
        <color rgb="FFFF0000"/>
        <rFont val="Calibri"/>
        <family val="2"/>
        <scheme val="minor"/>
      </rPr>
      <t>(delta DRT 18s between leu and ile…not possible!)</t>
    </r>
  </si>
  <si>
    <r>
      <t xml:space="preserve">well….delta RT is clearly </t>
    </r>
    <r>
      <rPr>
        <b/>
        <sz val="11"/>
        <color theme="9" tint="-0.249977111117893"/>
        <rFont val="Calibri"/>
        <family val="2"/>
        <scheme val="minor"/>
      </rPr>
      <t>far off</t>
    </r>
    <r>
      <rPr>
        <sz val="11"/>
        <color theme="9" tint="-0.249977111117893"/>
        <rFont val="Calibri"/>
        <family val="2"/>
        <scheme val="minor"/>
      </rPr>
      <t xml:space="preserve">. This one could well be named </t>
    </r>
    <r>
      <rPr>
        <b/>
        <sz val="11"/>
        <color theme="9" tint="-0.249977111117893"/>
        <rFont val="Calibri"/>
        <family val="2"/>
        <scheme val="minor"/>
      </rPr>
      <t>yy_N-acetylleucine</t>
    </r>
    <r>
      <rPr>
        <sz val="11"/>
        <color theme="9" tint="-0.249977111117893"/>
        <rFont val="Calibri"/>
        <family val="2"/>
        <scheme val="minor"/>
      </rPr>
      <t>. But adduct is M-H  . MSMS misses 84 and 58   See below the 'changed leu, ile' version of acetyl-variant!</t>
    </r>
  </si>
  <si>
    <r>
      <t xml:space="preserve">delta RT possible, MSMS possible although a </t>
    </r>
    <r>
      <rPr>
        <b/>
        <sz val="11"/>
        <color rgb="FFFF0000"/>
        <rFont val="Calibri"/>
        <family val="2"/>
        <scheme val="minor"/>
      </rPr>
      <t>number of noise ions</t>
    </r>
    <r>
      <rPr>
        <sz val="11"/>
        <color rgb="FFFF0000"/>
        <rFont val="Calibri"/>
        <family val="2"/>
        <scheme val="minor"/>
      </rPr>
      <t>. Unexplained mz 99.9 fragment must be noise as well!</t>
    </r>
  </si>
  <si>
    <t>again an N-acetyl-amino acid with large deltaRT prediction. Something's not right for N-acetyl-variants.</t>
  </si>
  <si>
    <t>delta RT possible, MSMS possible , M-H is fine</t>
  </si>
  <si>
    <t>now changed to arabitol. However, [M-H-CH6O2]-. Abundant fragment mz 89.9 must be noise…</t>
  </si>
  <si>
    <r>
      <rPr>
        <b/>
        <i/>
        <sz val="11"/>
        <color rgb="FFFF0000"/>
        <rFont val="Calibri"/>
        <family val="2"/>
        <scheme val="minor"/>
      </rPr>
      <t xml:space="preserve">annotated </t>
    </r>
    <r>
      <rPr>
        <sz val="11"/>
        <color rgb="FFFF0000"/>
        <rFont val="Calibri"/>
        <family val="2"/>
        <scheme val="minor"/>
      </rPr>
      <t>molecule is gluconic acid. Make sure you always use the latest version!  "Golden" means that Oliver Fiehn needs to curate it…</t>
    </r>
  </si>
  <si>
    <t>now changed to yy_... Because [M-H-C7H13NO]- sole adduct</t>
  </si>
  <si>
    <t>now changed to yy…because annotation had inedicarboxylic acid had [M-H-CO2]- as sole adduct</t>
  </si>
  <si>
    <t>great MSMS,  id[M-H]- adduct</t>
  </si>
  <si>
    <t>sole hit and [M-H]- except ISF for Purine-carboxylic acid - CO2</t>
  </si>
  <si>
    <r>
      <rPr>
        <b/>
        <i/>
        <sz val="11"/>
        <color rgb="FFFF0000"/>
        <rFont val="Calibri"/>
        <family val="2"/>
        <scheme val="minor"/>
      </rPr>
      <t>already changed</t>
    </r>
    <r>
      <rPr>
        <sz val="11"/>
        <color rgb="FFFF0000"/>
        <rFont val="Calibri"/>
        <family val="2"/>
        <scheme val="minor"/>
      </rPr>
      <t xml:space="preserve"> to yy_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</si>
</sst>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4" fillId="0" borderId="0" xfId="0" applyFont="1"/>
    <xf numFmtId="0" fontId="6" fillId="2" borderId="0" xfId="7" applyAlignment="1">
      <alignment wrapText="1"/>
    </xf>
    <xf numFmtId="165" fontId="0" fillId="0" borderId="0" xfId="0" applyNumberFormat="1"/>
    <xf numFmtId="9" fontId="0" fillId="0" borderId="0" xfId="1" applyFont="1"/>
    <xf numFmtId="9" fontId="0" fillId="0" borderId="0" xfId="1" applyFont="1" applyAlignment="1">
      <alignment horizontal="center"/>
    </xf>
    <xf numFmtId="2" fontId="0" fillId="0" borderId="0" xfId="0" applyNumberFormat="1" applyAlignment="1">
      <alignment horizontal="center"/>
    </xf>
    <xf numFmtId="0" fontId="21" fillId="0" borderId="0" xfId="0" applyFont="1"/>
    <xf numFmtId="0" fontId="23" fillId="0" borderId="0" xfId="0" applyFont="1"/>
    <xf numFmtId="0" fontId="19" fillId="0" borderId="0" xfId="0" applyFont="1"/>
    <xf numFmtId="0" fontId="0" fillId="33" borderId="0" xfId="0" applyFill="1"/>
    <xf numFmtId="0" fontId="0" fillId="34" borderId="0" xfId="0" applyFill="1"/>
    <xf numFmtId="0" fontId="7" fillId="3" borderId="0" xfId="8"/>
    <xf numFmtId="0" fontId="14" fillId="0" borderId="0" xfId="0" applyFont="1" applyAlignme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tabSelected="1" workbookViewId="0">
      <selection activeCell="E13" sqref="E13"/>
    </sheetView>
  </sheetViews>
  <sheetFormatPr defaultRowHeight="14.5" x14ac:dyDescent="0.35"/>
  <cols>
    <col min="1" max="1" width="16.54296875" customWidth="1"/>
    <col min="2" max="2" width="35.7265625" customWidth="1"/>
    <col min="3" max="3" width="25.08984375" customWidth="1"/>
    <col min="4" max="5" width="35.7265625" customWidth="1"/>
  </cols>
  <sheetData>
    <row r="1" spans="1:17" x14ac:dyDescent="0.35">
      <c r="A1" t="s">
        <v>0</v>
      </c>
      <c r="B1" t="s">
        <v>1</v>
      </c>
      <c r="C1" t="s">
        <v>71</v>
      </c>
      <c r="D1" t="s">
        <v>71</v>
      </c>
      <c r="E1" t="s">
        <v>71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</row>
    <row r="2" spans="1:17" x14ac:dyDescent="0.35">
      <c r="A2" t="s">
        <v>14</v>
      </c>
      <c r="B2" t="s">
        <v>15</v>
      </c>
      <c r="C2" s="10" t="s">
        <v>72</v>
      </c>
      <c r="D2" s="1" t="s">
        <v>64</v>
      </c>
      <c r="F2" t="s">
        <v>16</v>
      </c>
      <c r="G2" s="5">
        <v>0.37439078946070697</v>
      </c>
      <c r="H2" s="3">
        <v>32.569400000000002</v>
      </c>
      <c r="I2" s="6">
        <v>0.67015844583511297</v>
      </c>
      <c r="J2" s="6">
        <v>0.45755107227047698</v>
      </c>
      <c r="K2" s="6">
        <v>0.92296729494316998</v>
      </c>
      <c r="L2" s="6">
        <v>7.7413439750671303E-2</v>
      </c>
      <c r="M2" s="6">
        <v>0.156236444435808</v>
      </c>
      <c r="N2" s="6">
        <v>3.1310517073531599</v>
      </c>
      <c r="O2" s="6">
        <v>2.0487375259399401</v>
      </c>
      <c r="P2" t="b">
        <v>1</v>
      </c>
      <c r="Q2" s="4">
        <v>0.33073479621677598</v>
      </c>
    </row>
    <row r="3" spans="1:17" ht="87" x14ac:dyDescent="0.35">
      <c r="A3" t="s">
        <v>17</v>
      </c>
      <c r="B3" t="s">
        <v>18</v>
      </c>
      <c r="C3" s="10" t="s">
        <v>72</v>
      </c>
      <c r="D3" s="1" t="s">
        <v>62</v>
      </c>
      <c r="E3" s="2" t="s">
        <v>61</v>
      </c>
      <c r="F3" t="s">
        <v>16</v>
      </c>
      <c r="G3" s="5">
        <v>0.38739086019360802</v>
      </c>
      <c r="H3" s="3">
        <v>60.465000000000003</v>
      </c>
      <c r="I3" s="6"/>
      <c r="J3" s="6"/>
      <c r="K3" s="6"/>
      <c r="L3" s="6"/>
      <c r="M3" s="6"/>
      <c r="N3" s="6"/>
      <c r="O3" s="6">
        <v>0.70783513784408503</v>
      </c>
      <c r="P3" t="b">
        <v>0</v>
      </c>
      <c r="Q3" s="4">
        <v>0.94128685372995402</v>
      </c>
    </row>
    <row r="4" spans="1:17" x14ac:dyDescent="0.35">
      <c r="A4" t="s">
        <v>19</v>
      </c>
      <c r="B4" t="s">
        <v>20</v>
      </c>
      <c r="C4" s="10" t="s">
        <v>72</v>
      </c>
      <c r="D4" s="1" t="s">
        <v>65</v>
      </c>
      <c r="F4" t="s">
        <v>16</v>
      </c>
      <c r="G4" s="5">
        <v>0.41539445669701502</v>
      </c>
      <c r="H4" s="3">
        <v>38.460299999999997</v>
      </c>
      <c r="I4" s="6">
        <v>0.75000911951064997</v>
      </c>
      <c r="J4" s="6">
        <v>0.28172127461885099</v>
      </c>
      <c r="K4" s="6">
        <v>0.40951558947563099</v>
      </c>
      <c r="L4" s="6">
        <v>0.11712038516998199</v>
      </c>
      <c r="M4" s="6">
        <v>0.40086293948386098</v>
      </c>
      <c r="N4" s="6"/>
      <c r="O4" s="6">
        <v>1.8718627691268901</v>
      </c>
      <c r="P4" t="b">
        <v>1</v>
      </c>
      <c r="Q4" s="4">
        <v>0.28816591673923703</v>
      </c>
    </row>
    <row r="5" spans="1:17" x14ac:dyDescent="0.35">
      <c r="A5" t="s">
        <v>21</v>
      </c>
      <c r="B5" t="s">
        <v>22</v>
      </c>
      <c r="C5" s="11" t="s">
        <v>73</v>
      </c>
      <c r="D5" s="7" t="s">
        <v>78</v>
      </c>
      <c r="F5" t="s">
        <v>23</v>
      </c>
      <c r="G5" s="5">
        <v>0.46376332663875303</v>
      </c>
      <c r="H5" s="3">
        <v>45.295200000000001</v>
      </c>
      <c r="I5" s="6">
        <v>0.72007745504379195</v>
      </c>
      <c r="J5" s="6">
        <v>0.34269826902136002</v>
      </c>
      <c r="K5" s="6">
        <v>0.61730941430870201</v>
      </c>
      <c r="L5" s="6">
        <v>4.7951936721800001E-4</v>
      </c>
      <c r="M5" s="6">
        <v>1.41673495911338</v>
      </c>
      <c r="N5" s="6"/>
      <c r="O5" s="6">
        <v>1.22983610630035</v>
      </c>
      <c r="P5" t="b">
        <v>1</v>
      </c>
      <c r="Q5" s="4">
        <v>0.18157953410900099</v>
      </c>
    </row>
    <row r="6" spans="1:17" x14ac:dyDescent="0.35">
      <c r="A6" t="s">
        <v>24</v>
      </c>
      <c r="B6" t="s">
        <v>25</v>
      </c>
      <c r="C6" s="10" t="s">
        <v>72</v>
      </c>
      <c r="D6" s="1" t="s">
        <v>63</v>
      </c>
      <c r="F6" t="s">
        <v>16</v>
      </c>
      <c r="G6" s="5">
        <v>0.468196947144561</v>
      </c>
      <c r="H6" s="3">
        <v>25.0761</v>
      </c>
      <c r="I6" s="6">
        <v>0.67397224903106601</v>
      </c>
      <c r="J6" s="6">
        <v>0.39057639651392401</v>
      </c>
      <c r="K6" s="6">
        <v>1</v>
      </c>
      <c r="L6" s="6">
        <v>6.6239953041076605E-2</v>
      </c>
      <c r="M6" s="6">
        <v>0.127074528813543</v>
      </c>
      <c r="N6" s="6">
        <v>2.0901346105693301</v>
      </c>
      <c r="O6" s="6">
        <v>1.07128846645355</v>
      </c>
      <c r="P6" t="b">
        <v>1</v>
      </c>
      <c r="Q6" s="4">
        <v>0.39854731443313401</v>
      </c>
    </row>
    <row r="7" spans="1:17" x14ac:dyDescent="0.35">
      <c r="A7" t="s">
        <v>26</v>
      </c>
      <c r="B7" t="s">
        <v>27</v>
      </c>
      <c r="C7" s="10" t="s">
        <v>72</v>
      </c>
      <c r="D7" s="1" t="s">
        <v>66</v>
      </c>
      <c r="F7" t="s">
        <v>16</v>
      </c>
      <c r="G7" s="5">
        <v>0.47101948294567902</v>
      </c>
      <c r="H7" s="3">
        <v>26.229099999999999</v>
      </c>
      <c r="I7" s="6">
        <v>0.694155573844909</v>
      </c>
      <c r="J7" s="6">
        <v>0.74273186800382596</v>
      </c>
      <c r="K7" s="6">
        <v>0.76812986114403403</v>
      </c>
      <c r="L7" s="6">
        <v>0.17420572042465199</v>
      </c>
      <c r="M7" s="6">
        <v>0.56944211910034204</v>
      </c>
      <c r="N7" s="6">
        <v>2.3434761323862001</v>
      </c>
      <c r="O7" s="6">
        <v>1.45854687690734</v>
      </c>
      <c r="P7" t="b">
        <v>1</v>
      </c>
      <c r="Q7" s="4">
        <v>0.43539160662378901</v>
      </c>
    </row>
    <row r="8" spans="1:17" x14ac:dyDescent="0.35">
      <c r="A8" t="s">
        <v>28</v>
      </c>
      <c r="B8" t="s">
        <v>29</v>
      </c>
      <c r="C8" s="10" t="s">
        <v>72</v>
      </c>
      <c r="D8" s="9" t="s">
        <v>70</v>
      </c>
      <c r="F8" t="s">
        <v>23</v>
      </c>
      <c r="G8" s="5">
        <v>0.49391850886224797</v>
      </c>
      <c r="H8" s="3">
        <v>46.621499999999997</v>
      </c>
      <c r="I8" s="6">
        <v>0.986275494098663</v>
      </c>
      <c r="J8" s="6">
        <v>0.69431581865486303</v>
      </c>
      <c r="K8" s="6">
        <v>0.79654447734355904</v>
      </c>
      <c r="L8" s="6">
        <v>0.159113228321075</v>
      </c>
      <c r="M8" s="6">
        <v>1.03560993569683</v>
      </c>
      <c r="N8" s="6">
        <v>0.91753437565359397</v>
      </c>
      <c r="O8" s="6">
        <v>0.46977978944778398</v>
      </c>
      <c r="P8" t="b">
        <v>1</v>
      </c>
      <c r="Q8" s="4">
        <v>0.207885940687313</v>
      </c>
    </row>
    <row r="9" spans="1:17" x14ac:dyDescent="0.35">
      <c r="A9" t="s">
        <v>30</v>
      </c>
      <c r="B9" t="s">
        <v>31</v>
      </c>
      <c r="C9" s="11" t="s">
        <v>74</v>
      </c>
      <c r="D9" s="8" t="s">
        <v>67</v>
      </c>
      <c r="F9" t="s">
        <v>23</v>
      </c>
      <c r="G9" s="5">
        <v>0.49575929316781198</v>
      </c>
      <c r="H9" s="3">
        <v>30.7</v>
      </c>
      <c r="I9" s="6"/>
      <c r="J9" s="6"/>
      <c r="K9" s="6"/>
      <c r="L9" s="6"/>
      <c r="M9" s="6"/>
      <c r="N9" s="6"/>
      <c r="O9" s="6">
        <v>1.85984635353088</v>
      </c>
      <c r="P9" t="b">
        <v>0</v>
      </c>
      <c r="Q9" s="4">
        <v>0.55126401831759897</v>
      </c>
    </row>
    <row r="10" spans="1:17" x14ac:dyDescent="0.35">
      <c r="A10" t="s">
        <v>32</v>
      </c>
      <c r="B10" t="s">
        <v>33</v>
      </c>
      <c r="C10" s="10" t="s">
        <v>72</v>
      </c>
      <c r="D10" s="1" t="s">
        <v>68</v>
      </c>
      <c r="F10" t="s">
        <v>23</v>
      </c>
      <c r="G10" s="5">
        <v>0.51294539469973099</v>
      </c>
      <c r="H10" s="3">
        <v>58.227899999999998</v>
      </c>
      <c r="I10" s="6">
        <v>0.60146701335906905</v>
      </c>
      <c r="J10" s="6">
        <v>0</v>
      </c>
      <c r="K10" s="6">
        <v>0</v>
      </c>
      <c r="L10" s="6">
        <v>1.5036940574645901E-2</v>
      </c>
      <c r="M10" s="6">
        <v>7.0005148317453099</v>
      </c>
      <c r="N10" s="6"/>
      <c r="O10" s="6">
        <v>1.20335328578948</v>
      </c>
      <c r="P10" t="b">
        <v>1</v>
      </c>
      <c r="Q10" s="4">
        <v>0.54958280867146603</v>
      </c>
    </row>
    <row r="11" spans="1:17" x14ac:dyDescent="0.35">
      <c r="A11" t="s">
        <v>34</v>
      </c>
      <c r="B11" t="s">
        <v>35</v>
      </c>
      <c r="C11" s="10" t="s">
        <v>72</v>
      </c>
      <c r="D11" s="1" t="s">
        <v>69</v>
      </c>
      <c r="F11" t="s">
        <v>16</v>
      </c>
      <c r="G11" s="5">
        <v>0.51569550463900604</v>
      </c>
      <c r="H11" s="3">
        <v>52.034199999999998</v>
      </c>
      <c r="I11" s="6">
        <v>0.83142226934432895</v>
      </c>
      <c r="J11" s="6">
        <v>0</v>
      </c>
      <c r="K11" s="6">
        <v>0</v>
      </c>
      <c r="L11" s="6">
        <v>4.88699078559875E-2</v>
      </c>
      <c r="M11" s="6">
        <v>1.9142758347711499</v>
      </c>
      <c r="N11" s="6"/>
      <c r="O11" s="6">
        <v>0.41809463500976501</v>
      </c>
      <c r="P11" t="b">
        <v>1</v>
      </c>
      <c r="Q11" s="4">
        <v>0.54254328333044899</v>
      </c>
    </row>
    <row r="12" spans="1:17" x14ac:dyDescent="0.35">
      <c r="A12" t="s">
        <v>36</v>
      </c>
      <c r="B12" t="s">
        <v>37</v>
      </c>
      <c r="C12" s="12" t="s">
        <v>75</v>
      </c>
      <c r="D12" s="1" t="s">
        <v>76</v>
      </c>
      <c r="F12" t="s">
        <v>16</v>
      </c>
      <c r="G12" s="5">
        <v>0.531992348147725</v>
      </c>
      <c r="H12" s="3">
        <v>60.100200000000001</v>
      </c>
      <c r="I12" s="6">
        <v>0.70947402715682895</v>
      </c>
      <c r="J12" s="6">
        <v>0.47401934784708399</v>
      </c>
      <c r="K12" s="6">
        <v>1</v>
      </c>
      <c r="L12" s="6">
        <v>2.3590803146362301E-2</v>
      </c>
      <c r="M12" s="6">
        <v>0.46801108484592202</v>
      </c>
      <c r="N12" s="6">
        <v>1.6831925556542999</v>
      </c>
      <c r="O12" s="6">
        <v>0.97398579120635898</v>
      </c>
      <c r="P12" t="b">
        <v>1</v>
      </c>
      <c r="Q12" s="4">
        <v>-1.1933087521180099E-3</v>
      </c>
    </row>
    <row r="13" spans="1:17" x14ac:dyDescent="0.35">
      <c r="A13" t="s">
        <v>38</v>
      </c>
      <c r="B13" t="s">
        <v>39</v>
      </c>
      <c r="C13" s="12" t="s">
        <v>75</v>
      </c>
      <c r="D13" s="1" t="s">
        <v>77</v>
      </c>
      <c r="F13" t="s">
        <v>23</v>
      </c>
      <c r="G13" s="5">
        <v>0.53363670211910097</v>
      </c>
      <c r="H13" s="3">
        <v>41.72</v>
      </c>
      <c r="I13" s="6">
        <v>0.84527468681335405</v>
      </c>
      <c r="J13" s="6">
        <v>0.57079096247289396</v>
      </c>
      <c r="K13" s="6">
        <v>1</v>
      </c>
      <c r="L13" s="6">
        <v>9.5599889755240003E-4</v>
      </c>
      <c r="M13" s="6">
        <v>0.120066927028552</v>
      </c>
      <c r="N13" s="6">
        <v>1.31360601097426</v>
      </c>
      <c r="O13" s="6">
        <v>0.47909796237945501</v>
      </c>
      <c r="P13" t="b">
        <v>1</v>
      </c>
      <c r="Q13" s="4">
        <v>0.24383610265213801</v>
      </c>
    </row>
    <row r="14" spans="1:17" x14ac:dyDescent="0.35">
      <c r="A14" t="s">
        <v>40</v>
      </c>
      <c r="B14" t="s">
        <v>41</v>
      </c>
      <c r="C14" s="10" t="s">
        <v>72</v>
      </c>
      <c r="D14" s="1" t="s">
        <v>79</v>
      </c>
      <c r="F14" t="s">
        <v>16</v>
      </c>
      <c r="G14" s="5">
        <v>0.53936641165829002</v>
      </c>
      <c r="H14" s="3">
        <v>20.8306</v>
      </c>
      <c r="I14" s="6">
        <v>0.71052706241607599</v>
      </c>
      <c r="J14" s="6">
        <v>0.42098373341572098</v>
      </c>
      <c r="K14" s="6">
        <v>0.93153309643541105</v>
      </c>
      <c r="L14" s="6">
        <v>1.7786622047424299E-2</v>
      </c>
      <c r="M14" s="6">
        <v>2.3043874994328402</v>
      </c>
      <c r="N14" s="6">
        <v>2.8799043541650402</v>
      </c>
      <c r="O14" s="6">
        <v>2.1084935665130602</v>
      </c>
      <c r="P14" t="b">
        <v>1</v>
      </c>
      <c r="Q14" s="4">
        <v>0.50209501136956403</v>
      </c>
    </row>
    <row r="15" spans="1:17" x14ac:dyDescent="0.35">
      <c r="A15" t="s">
        <v>42</v>
      </c>
      <c r="B15" t="s">
        <v>43</v>
      </c>
      <c r="C15" s="10" t="s">
        <v>72</v>
      </c>
      <c r="D15" s="1" t="s">
        <v>80</v>
      </c>
      <c r="F15" t="s">
        <v>23</v>
      </c>
      <c r="G15" s="5">
        <v>0.53964221115786104</v>
      </c>
      <c r="H15" s="3">
        <v>41.694800000000001</v>
      </c>
      <c r="I15" s="6">
        <v>0.89817970991134599</v>
      </c>
      <c r="J15" s="6">
        <v>0.49907077291156199</v>
      </c>
      <c r="K15" s="6">
        <v>0.73399819734684502</v>
      </c>
      <c r="L15" s="6">
        <v>6.9110274314880302E-2</v>
      </c>
      <c r="M15" s="6">
        <v>0.41664608880562998</v>
      </c>
      <c r="N15" s="6">
        <v>0.97375084913667898</v>
      </c>
      <c r="O15" s="6">
        <v>0.54015743732452304</v>
      </c>
      <c r="P15" t="b">
        <v>1</v>
      </c>
      <c r="Q15" s="4">
        <v>0.262068695835043</v>
      </c>
    </row>
    <row r="16" spans="1:17" x14ac:dyDescent="0.35">
      <c r="A16" t="s">
        <v>44</v>
      </c>
      <c r="B16" t="s">
        <v>45</v>
      </c>
      <c r="C16" s="10" t="s">
        <v>72</v>
      </c>
      <c r="D16" s="1" t="s">
        <v>81</v>
      </c>
      <c r="F16" t="s">
        <v>16</v>
      </c>
      <c r="G16" s="5">
        <v>0.55103787390514702</v>
      </c>
      <c r="H16" s="3">
        <v>22.1188</v>
      </c>
      <c r="I16" s="6">
        <v>0.70649152994155795</v>
      </c>
      <c r="J16" s="6">
        <v>0</v>
      </c>
      <c r="K16" s="6">
        <v>0</v>
      </c>
      <c r="L16" s="6">
        <v>0.175706446170806</v>
      </c>
      <c r="M16" s="6">
        <v>9.0093764482640495</v>
      </c>
      <c r="N16" s="6"/>
      <c r="O16" s="6">
        <v>1.02281713485717</v>
      </c>
      <c r="P16" t="b">
        <v>1</v>
      </c>
      <c r="Q16" s="4">
        <v>0.451242857151819</v>
      </c>
    </row>
    <row r="17" spans="1:17" x14ac:dyDescent="0.35">
      <c r="A17" t="s">
        <v>46</v>
      </c>
      <c r="B17" t="s">
        <v>47</v>
      </c>
      <c r="C17" s="12" t="s">
        <v>75</v>
      </c>
      <c r="D17" s="1" t="s">
        <v>82</v>
      </c>
      <c r="F17" t="s">
        <v>16</v>
      </c>
      <c r="G17" s="5">
        <v>0.56274079133152599</v>
      </c>
      <c r="H17" s="3">
        <v>37.139600000000002</v>
      </c>
      <c r="I17" s="6">
        <v>0.76135647296905495</v>
      </c>
      <c r="J17" s="6">
        <v>0.20678440943623499</v>
      </c>
      <c r="K17" s="6">
        <v>0.72475996592908798</v>
      </c>
      <c r="L17" s="6">
        <v>7.4001550674438E-3</v>
      </c>
      <c r="M17" s="6">
        <v>5.2289385534620498</v>
      </c>
      <c r="N17" s="6">
        <v>1.89947192972528</v>
      </c>
      <c r="O17" s="6">
        <v>1.6774058341979901</v>
      </c>
      <c r="P17" t="b">
        <v>1</v>
      </c>
      <c r="Q17" s="4">
        <v>0.51611523441558704</v>
      </c>
    </row>
    <row r="18" spans="1:17" x14ac:dyDescent="0.35">
      <c r="A18" t="s">
        <v>48</v>
      </c>
      <c r="B18" t="s">
        <v>49</v>
      </c>
      <c r="C18" s="10" t="s">
        <v>72</v>
      </c>
      <c r="D18" s="1" t="s">
        <v>83</v>
      </c>
      <c r="F18" t="s">
        <v>50</v>
      </c>
      <c r="G18" s="5">
        <v>0.56762520470702704</v>
      </c>
      <c r="H18" s="3">
        <v>103.1073</v>
      </c>
      <c r="I18" s="6"/>
      <c r="J18" s="6"/>
      <c r="K18" s="6"/>
      <c r="L18" s="6"/>
      <c r="M18" s="6"/>
      <c r="N18" s="6"/>
      <c r="O18" s="6">
        <v>1.88874316215515</v>
      </c>
      <c r="P18" t="b">
        <v>0</v>
      </c>
      <c r="Q18" s="4">
        <v>0.78294707496083804</v>
      </c>
    </row>
    <row r="19" spans="1:17" x14ac:dyDescent="0.35">
      <c r="A19" t="s">
        <v>51</v>
      </c>
      <c r="B19" t="s">
        <v>52</v>
      </c>
      <c r="C19" s="12" t="s">
        <v>75</v>
      </c>
      <c r="D19" s="1" t="s">
        <v>84</v>
      </c>
      <c r="F19" t="s">
        <v>16</v>
      </c>
      <c r="G19" s="5">
        <v>0.56810250865170797</v>
      </c>
      <c r="H19" s="3">
        <v>33.778199999999998</v>
      </c>
      <c r="I19" s="6">
        <v>0.79893654584884599</v>
      </c>
      <c r="J19" s="6">
        <v>0.38411905670875601</v>
      </c>
      <c r="K19" s="6">
        <v>0.621265709400177</v>
      </c>
      <c r="L19" s="6">
        <v>5.5118203163146001E-3</v>
      </c>
      <c r="M19" s="6">
        <v>1.2238277705610501</v>
      </c>
      <c r="N19" s="6">
        <v>0.70574815962524895</v>
      </c>
      <c r="O19" s="6">
        <v>1.6635870933532699</v>
      </c>
      <c r="P19" t="b">
        <v>1</v>
      </c>
      <c r="Q19" s="4">
        <v>0.36954150993627899</v>
      </c>
    </row>
    <row r="20" spans="1:17" x14ac:dyDescent="0.35">
      <c r="A20" t="s">
        <v>53</v>
      </c>
      <c r="B20" t="s">
        <v>54</v>
      </c>
      <c r="C20" s="12" t="s">
        <v>75</v>
      </c>
      <c r="D20" s="1" t="s">
        <v>85</v>
      </c>
      <c r="F20" t="s">
        <v>16</v>
      </c>
      <c r="G20" s="5">
        <v>0.570716490874696</v>
      </c>
      <c r="H20" s="3">
        <v>22.400500000000001</v>
      </c>
      <c r="I20" s="6">
        <v>0.70120143890380804</v>
      </c>
      <c r="J20" s="6">
        <v>0.242674899696843</v>
      </c>
      <c r="K20" s="6">
        <v>0.45071127192245802</v>
      </c>
      <c r="L20" s="6">
        <v>-5.2227854728698703E-2</v>
      </c>
      <c r="M20" s="6">
        <v>0.51942186427535697</v>
      </c>
      <c r="N20" s="6">
        <v>2.1794773052669099</v>
      </c>
      <c r="O20" s="6">
        <v>1.32274198532104</v>
      </c>
      <c r="P20" t="b">
        <v>1</v>
      </c>
      <c r="Q20" s="4">
        <v>0.48908679330798799</v>
      </c>
    </row>
    <row r="21" spans="1:17" x14ac:dyDescent="0.35">
      <c r="A21" t="s">
        <v>55</v>
      </c>
      <c r="B21" t="s">
        <v>56</v>
      </c>
      <c r="C21" s="10" t="s">
        <v>72</v>
      </c>
      <c r="D21" s="1" t="s">
        <v>88</v>
      </c>
      <c r="F21" t="s">
        <v>16</v>
      </c>
      <c r="G21" s="5">
        <v>0.58951873820606804</v>
      </c>
      <c r="H21" s="3">
        <v>21.523399999999999</v>
      </c>
      <c r="I21" s="6">
        <v>0.70689034461975098</v>
      </c>
      <c r="J21" s="6">
        <v>0.52539899478111396</v>
      </c>
      <c r="K21" s="6">
        <v>1</v>
      </c>
      <c r="L21" s="6">
        <v>7.6507925987243597E-2</v>
      </c>
      <c r="M21" s="6">
        <v>0.69225309088565001</v>
      </c>
      <c r="N21" s="6">
        <v>1.25835185106315</v>
      </c>
      <c r="O21" s="6">
        <v>1.0301558971405</v>
      </c>
      <c r="P21" t="b">
        <v>1</v>
      </c>
      <c r="Q21" s="4">
        <v>0.45889288413614099</v>
      </c>
    </row>
    <row r="22" spans="1:17" x14ac:dyDescent="0.35">
      <c r="A22" t="s">
        <v>57</v>
      </c>
      <c r="B22" t="s">
        <v>58</v>
      </c>
      <c r="C22" s="10" t="s">
        <v>72</v>
      </c>
      <c r="D22" s="1" t="s">
        <v>86</v>
      </c>
      <c r="F22" t="s">
        <v>16</v>
      </c>
      <c r="G22" s="5">
        <v>0.59769909071931004</v>
      </c>
      <c r="H22" s="3">
        <v>37.4925</v>
      </c>
      <c r="I22" s="6">
        <v>0.86965829133987405</v>
      </c>
      <c r="J22" s="6">
        <v>0.65191547607491296</v>
      </c>
      <c r="K22" s="6">
        <v>0.96526647899871898</v>
      </c>
      <c r="L22" s="6">
        <v>7.4190974235534599E-2</v>
      </c>
      <c r="M22" s="6">
        <v>0.332268023524464</v>
      </c>
      <c r="N22" s="6">
        <v>1.67903678127749</v>
      </c>
      <c r="O22" s="6">
        <v>1.46244084835052</v>
      </c>
      <c r="P22" t="b">
        <v>1</v>
      </c>
      <c r="Q22" s="4">
        <v>0.34111829223699502</v>
      </c>
    </row>
    <row r="23" spans="1:17" x14ac:dyDescent="0.35">
      <c r="A23" t="s">
        <v>59</v>
      </c>
      <c r="B23" t="s">
        <v>60</v>
      </c>
      <c r="C23" s="10" t="s">
        <v>72</v>
      </c>
      <c r="D23" s="13" t="s">
        <v>87</v>
      </c>
      <c r="F23" t="s">
        <v>16</v>
      </c>
      <c r="G23" s="5">
        <v>0.59940547159583002</v>
      </c>
      <c r="H23" s="3">
        <v>36.749200000000002</v>
      </c>
      <c r="I23" s="6">
        <v>0.86932057142257602</v>
      </c>
      <c r="J23" s="6">
        <v>0.157856572222484</v>
      </c>
      <c r="K23" s="6">
        <v>0.13843907289679599</v>
      </c>
      <c r="L23" s="6">
        <v>7.0401966571807806E-2</v>
      </c>
      <c r="M23" s="6">
        <v>3.0531573978001498</v>
      </c>
      <c r="N23" s="6">
        <v>1.7986028245335</v>
      </c>
      <c r="O23" s="6">
        <v>1.8233065605163501</v>
      </c>
      <c r="P23" t="b">
        <v>1</v>
      </c>
      <c r="Q23" s="4">
        <v>0.35964287282950003</v>
      </c>
    </row>
  </sheetData>
  <phoneticPr fontId="25" type="noConversion"/>
  <conditionalFormatting sqref="H2:H23">
    <cfRule type="cellIs" dxfId="1" priority="2" operator="greaterThan">
      <formula>35</formula>
    </cfRule>
  </conditionalFormatting>
  <conditionalFormatting sqref="Q2:Q23">
    <cfRule type="cellIs" dxfId="0" priority="1" operator="lessThan">
      <formula>0.5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flagged_annotations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Fiehn</dc:creator>
  <cp:lastModifiedBy>Oliver Fiehn</cp:lastModifiedBy>
  <dcterms:created xsi:type="dcterms:W3CDTF">2026-04-08T23:26:04Z</dcterms:created>
  <dcterms:modified xsi:type="dcterms:W3CDTF">2026-04-08T23:26:11Z</dcterms:modified>
</cp:coreProperties>
</file>